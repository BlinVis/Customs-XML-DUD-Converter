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0.4.5.4\asp\Blerje\01_Kosovë\Furnitort\thyssenkrupp Bilstein\Porosit\2026_Porosia\09_Porosia\Fatura 1\"/>
    </mc:Choice>
  </mc:AlternateContent>
  <xr:revisionPtr revIDLastSave="0" documentId="13_ncr:1_{52DC38AF-C076-4B8D-B046-1BAF7BF4BA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Sheet1!$A$1:$Q$243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I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H24" i="1"/>
  <c r="F24" i="1" l="1"/>
</calcChain>
</file>

<file path=xl/sharedStrings.xml><?xml version="1.0" encoding="utf-8"?>
<sst xmlns="http://schemas.openxmlformats.org/spreadsheetml/2006/main" count="174" uniqueCount="82">
  <si>
    <t>Kodi</t>
  </si>
  <si>
    <t>Perkthim</t>
  </si>
  <si>
    <t>Pesha neto</t>
  </si>
  <si>
    <t>Pesha bruto</t>
  </si>
  <si>
    <t>Origjina</t>
  </si>
  <si>
    <t>Kodi tarifor</t>
  </si>
  <si>
    <t>Brendi</t>
  </si>
  <si>
    <t xml:space="preserve">Totali </t>
  </si>
  <si>
    <r>
      <t>Sasia</t>
    </r>
    <r>
      <rPr>
        <sz val="11"/>
        <color rgb="FFFF0000"/>
        <rFont val="Calibri"/>
        <family val="2"/>
        <scheme val="minor"/>
      </rPr>
      <t xml:space="preserve"> </t>
    </r>
  </si>
  <si>
    <t xml:space="preserve"> Cmimi </t>
  </si>
  <si>
    <t>Transporti</t>
  </si>
  <si>
    <t>Nr unik</t>
  </si>
  <si>
    <t>Dogana</t>
  </si>
  <si>
    <t>Vlera doganore</t>
  </si>
  <si>
    <t>Pref</t>
  </si>
  <si>
    <t>19-139968</t>
  </si>
  <si>
    <t>19-217994</t>
  </si>
  <si>
    <t>22-230522</t>
  </si>
  <si>
    <t>19-230559</t>
  </si>
  <si>
    <t>22-230539</t>
  </si>
  <si>
    <t>19-109572</t>
  </si>
  <si>
    <t>19-142449</t>
  </si>
  <si>
    <t>19-230542</t>
  </si>
  <si>
    <t>22-151056</t>
  </si>
  <si>
    <t>22-183705</t>
  </si>
  <si>
    <t>19-253428</t>
  </si>
  <si>
    <t>24-220118</t>
  </si>
  <si>
    <t>19-226897</t>
  </si>
  <si>
    <t>22-297716</t>
  </si>
  <si>
    <t>22-277589</t>
  </si>
  <si>
    <t>24-294676</t>
  </si>
  <si>
    <t>24-265768</t>
  </si>
  <si>
    <t>22-197665</t>
  </si>
  <si>
    <t>22-131614</t>
  </si>
  <si>
    <t>22-131607</t>
  </si>
  <si>
    <t>RO</t>
  </si>
  <si>
    <t>DE</t>
  </si>
  <si>
    <t>Bilstein</t>
  </si>
  <si>
    <t>Jo</t>
  </si>
  <si>
    <t>Po</t>
  </si>
  <si>
    <t>Cmimi me zbritje</t>
  </si>
  <si>
    <t>Totali me zbritje</t>
  </si>
  <si>
    <t>Amortizer mbrapa - AUDI - A6 (4F2, C6) - 2.0 TFSI. 06.05 - 03.11. 125kw-170ps</t>
  </si>
  <si>
    <t>Amortizera mbrapa - BMW 1 F20 11-</t>
  </si>
  <si>
    <t>Amortizera para - VW GOLF VII (5G1, BQ1, BE1, BE2) 1.6 TDI</t>
  </si>
  <si>
    <t>Amortizera mbrapa - VW Golf VII 1.4TSI / 1.6TDI</t>
  </si>
  <si>
    <t>Amortizera para - VW GOLF VII (5G1, BQ1, BE1, BE2) 1.6 TDI {55mm}</t>
  </si>
  <si>
    <t>Amortizer mbrapa - VW VW POLO IV (9N) 1.2, 1.4 16V, 1.4 FSI (10.01-&gt;)</t>
  </si>
  <si>
    <t>Amortizera mbrapa - Caddy III 1.9 TDI 04/02 -</t>
  </si>
  <si>
    <t>Amortizera mbrapa - VW GOLF VII (5G1, BQ1, BE1, BE2) 1.6 TDI</t>
  </si>
  <si>
    <t>Amortizera para - VW Passat B6 2.0 TDI 05-</t>
  </si>
  <si>
    <t>Amortizera para - VW Polo 6R 09-</t>
  </si>
  <si>
    <t>Amortizera mbrapa - VW PASSAT B8 (3G2, CB2) 2.0 TDI 15-</t>
  </si>
  <si>
    <t>Amortizera mbrapa - MERCEDES-BENZ A-CLASS (W176) A 200 CDI (176.001) 12-</t>
  </si>
  <si>
    <t>Amortizera mbrapa - AUDI A6 C7 11-18</t>
  </si>
  <si>
    <t>Amortizer para - VW GOLF VIII (CD1, DA1) 1.5 eHybrid 24 -</t>
  </si>
  <si>
    <t>Amortizer para - VW POLO VI 2.0 GTI 17 -</t>
  </si>
  <si>
    <t>Amortizer para R - MERCEDES CLS (C257) AMG CLS 53 EQ Boost 4-matic+</t>
  </si>
  <si>
    <t>Amortizer para - MB E-CLASS (W213) AMG E 43 4-matic</t>
  </si>
  <si>
    <t>Amortizera para - Golf V (1k1) prej 2003 - (Ø1/Ø2: 22/55 mm)</t>
  </si>
  <si>
    <t>Amortizera para - Golf V (1k1) prej 2003 - (Ø1/Ø2: 22/50 mm)</t>
  </si>
  <si>
    <t>Amortizer para - Mercedes-Benz E-Class T-Model (S212) E 300 4MATIC - 11 - 16, Mercedes-Benz E-Class T-Model (S212) E 350 4MATIC - 11 - 16</t>
  </si>
  <si>
    <t>19-217994 - Amortizera mbrapa - BMW 1 F20 11-</t>
  </si>
  <si>
    <t>22-183705 - Amortizera para - VW Polo 6R 09-</t>
  </si>
  <si>
    <t>19-226897 - Amortizera mbrapa - AUDI A6 C7 11-18</t>
  </si>
  <si>
    <t>19-139968 - Amortizer mbrapa - AUDI - A6 (4F2, C6)</t>
  </si>
  <si>
    <t>22-230522 - Amortizera para - VW GOLF VII (5G1, BQ</t>
  </si>
  <si>
    <t>19-230559 - Amortizera mbrapa - VW Golf VII 1.4TSI</t>
  </si>
  <si>
    <t>22-230539 - Amortizera para - VW GOLF VII (5G1, BQ</t>
  </si>
  <si>
    <t>19-109572 - Amortizer mbrapa - VW VW POLO IV (9N)</t>
  </si>
  <si>
    <t>19-142449 - Amortizera mbrapa - Caddy III 1.9 TDI</t>
  </si>
  <si>
    <t>19-230542 - Amortizera mbrapa - VW GOLF VII (5G1,</t>
  </si>
  <si>
    <t>22-151056 - Amortizera para - VW Passat B6 2.0 TDI</t>
  </si>
  <si>
    <t>19-253428 - Amortizera mbrapa - VW PASSAT B8 (3G2,</t>
  </si>
  <si>
    <t>24-220118 - Amortizera mbrapa - MERCEDES-BENZ A-CL</t>
  </si>
  <si>
    <t>22-297716 - Amortizer para - VW GOLF VIII (CD1, DA</t>
  </si>
  <si>
    <t>22-277589 - Amortizer para - VW POLO VI 2.0 GTI 17</t>
  </si>
  <si>
    <t>24-294676 - Amortizer para R - MERCEDES CLS (C257)</t>
  </si>
  <si>
    <t>24-265768 - Amortizer para - MB E-CLASS (W213) AMG</t>
  </si>
  <si>
    <t>22-197665 - Amortizer para - Mercedes-Benz E-Class</t>
  </si>
  <si>
    <t>22-131614 - Amortizera para - Golf V (1k1) prej 20</t>
  </si>
  <si>
    <t>22-131607 - Amortizera para - Golf V (1k1) prej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</si>
</sst>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164" fontId="3" fillId="4" borderId="1" xfId="1" applyNumberFormat="1" applyBorder="1" applyAlignment="1">
      <alignment horizontal="center" vertical="center" wrapText="1"/>
    </xf>
    <xf numFmtId="164" fontId="0" fillId="2" borderId="0" xfId="0" applyNumberFormat="1" applyFill="1" applyAlignment="1">
      <alignment horizontal="center"/>
    </xf>
    <xf numFmtId="164" fontId="3" fillId="4" borderId="0" xfId="1" applyNumberFormat="1" applyAlignment="1">
      <alignment horizontal="center"/>
    </xf>
    <xf numFmtId="2" fontId="0" fillId="2" borderId="0" xfId="0" applyNumberFormat="1" applyFill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3"/>
  <sheetViews>
    <sheetView tabSelected="1" workbookViewId="0">
      <selection activeCell="C14" sqref="C14"/>
    </sheetView>
  </sheetViews>
  <sheetFormatPr defaultColWidth="8.85546875" defaultRowHeight="15" x14ac:dyDescent="0.25"/>
  <cols>
    <col min="1" max="1" width="14.42578125" style="4" customWidth="1"/>
    <col min="2" max="2" width="18.28515625" style="1" bestFit="1" customWidth="1"/>
    <col min="3" max="3" width="50.140625" style="4" bestFit="1" customWidth="1"/>
    <col min="4" max="4" width="10" style="1" bestFit="1" customWidth="1"/>
    <col min="5" max="5" width="11.28515625" style="2" customWidth="1"/>
    <col min="6" max="6" width="13.140625" style="2" bestFit="1" customWidth="1"/>
    <col min="7" max="7" width="11.28515625" style="2" customWidth="1"/>
    <col min="8" max="8" width="13.140625" style="2" bestFit="1" customWidth="1"/>
    <col min="9" max="9" width="13.140625" style="1" customWidth="1"/>
    <col min="10" max="10" width="13.28515625" style="1" customWidth="1"/>
    <col min="11" max="11" width="12.5703125" style="1" bestFit="1" customWidth="1"/>
    <col min="12" max="12" width="11.42578125" style="1" customWidth="1"/>
    <col min="13" max="13" width="17.5703125" style="1" customWidth="1"/>
    <col min="14" max="14" width="11.42578125" style="1" bestFit="1" customWidth="1"/>
    <col min="15" max="15" width="10.7109375" style="1" customWidth="1"/>
    <col min="16" max="16" width="8.85546875" style="1"/>
    <col min="17" max="17" width="14.5703125" style="1" customWidth="1"/>
  </cols>
  <sheetData>
    <row r="1" spans="1:17" s="3" customFormat="1" ht="26.25" customHeight="1" thickBot="1" x14ac:dyDescent="0.3">
      <c r="A1" s="7" t="s">
        <v>11</v>
      </c>
      <c r="B1" s="6" t="s">
        <v>0</v>
      </c>
      <c r="C1" s="7" t="s">
        <v>1</v>
      </c>
      <c r="D1" s="8" t="s">
        <v>8</v>
      </c>
      <c r="E1" s="9" t="s">
        <v>9</v>
      </c>
      <c r="F1" s="10" t="s">
        <v>7</v>
      </c>
      <c r="G1" s="14" t="s">
        <v>40</v>
      </c>
      <c r="H1" s="14" t="s">
        <v>41</v>
      </c>
      <c r="I1" s="11" t="s">
        <v>2</v>
      </c>
      <c r="J1" s="8" t="s">
        <v>3</v>
      </c>
      <c r="K1" s="8" t="s">
        <v>4</v>
      </c>
      <c r="L1" s="8" t="s">
        <v>14</v>
      </c>
      <c r="M1" s="8" t="s">
        <v>5</v>
      </c>
      <c r="N1" s="8" t="s">
        <v>6</v>
      </c>
      <c r="O1" s="12" t="s">
        <v>10</v>
      </c>
      <c r="P1" s="12" t="s">
        <v>12</v>
      </c>
      <c r="Q1" s="13" t="s">
        <v>13</v>
      </c>
    </row>
    <row r="2" spans="1:17" x14ac:dyDescent="0.25">
      <c r="A2" s="4">
        <v>55124</v>
      </c>
      <c r="B2" s="1" t="s">
        <v>15</v>
      </c>
      <c r="C2" s="4" t="s">
        <v>65</v>
      </c>
      <c r="D2" s="1">
        <v>8</v>
      </c>
      <c r="E2" s="2">
        <v>29.76</v>
      </c>
      <c r="F2" s="2">
        <f>E2*D2</f>
        <v>238.08</v>
      </c>
      <c r="G2" s="2">
        <v>29.462499999999999</v>
      </c>
      <c r="H2" s="2">
        <v>235.7</v>
      </c>
      <c r="I2" s="5">
        <v>17.39</v>
      </c>
      <c r="J2" s="1">
        <v>23.38</v>
      </c>
      <c r="K2" s="1" t="s">
        <v>35</v>
      </c>
      <c r="L2" s="1" t="s">
        <v>38</v>
      </c>
      <c r="M2" s="1">
        <v>87088035</v>
      </c>
      <c r="N2" s="1" t="s">
        <v>37</v>
      </c>
    </row>
    <row r="3" spans="1:17" x14ac:dyDescent="0.25">
      <c r="A3" s="4">
        <v>55134</v>
      </c>
      <c r="B3" s="1" t="s">
        <v>16</v>
      </c>
      <c r="C3" s="4" t="s">
        <v>62</v>
      </c>
      <c r="D3" s="1">
        <v>14</v>
      </c>
      <c r="E3" s="2">
        <v>34.200000000000003</v>
      </c>
      <c r="F3" s="2">
        <f t="shared" ref="F3:F23" si="0">E3*D3</f>
        <v>478.80000000000007</v>
      </c>
      <c r="G3" s="2">
        <v>33.857857142857142</v>
      </c>
      <c r="H3" s="2">
        <v>474.01</v>
      </c>
      <c r="I3" s="5">
        <v>33.520000000000003</v>
      </c>
      <c r="J3" s="1">
        <v>45.06</v>
      </c>
      <c r="K3" s="1" t="s">
        <v>35</v>
      </c>
      <c r="L3" s="1" t="s">
        <v>38</v>
      </c>
      <c r="M3" s="1">
        <v>87088035</v>
      </c>
      <c r="N3" s="1" t="s">
        <v>37</v>
      </c>
    </row>
    <row r="4" spans="1:17" x14ac:dyDescent="0.25">
      <c r="A4" s="4">
        <v>55104</v>
      </c>
      <c r="B4" s="1" t="s">
        <v>17</v>
      </c>
      <c r="C4" s="4" t="s">
        <v>66</v>
      </c>
      <c r="D4" s="1">
        <v>3</v>
      </c>
      <c r="E4" s="2">
        <v>39.6</v>
      </c>
      <c r="F4" s="2">
        <f t="shared" si="0"/>
        <v>118.80000000000001</v>
      </c>
      <c r="G4" s="2">
        <v>39.203333333333333</v>
      </c>
      <c r="H4" s="2">
        <v>117.61</v>
      </c>
      <c r="I4" s="5">
        <v>10.02</v>
      </c>
      <c r="J4" s="1">
        <v>13.47</v>
      </c>
      <c r="K4" s="1" t="s">
        <v>35</v>
      </c>
      <c r="L4" s="1" t="s">
        <v>38</v>
      </c>
      <c r="M4" s="1">
        <v>87088035</v>
      </c>
      <c r="N4" s="1" t="s">
        <v>37</v>
      </c>
    </row>
    <row r="5" spans="1:17" x14ac:dyDescent="0.25">
      <c r="A5" s="4">
        <v>56314</v>
      </c>
      <c r="B5" s="1" t="s">
        <v>18</v>
      </c>
      <c r="C5" s="4" t="s">
        <v>67</v>
      </c>
      <c r="D5" s="1">
        <v>8</v>
      </c>
      <c r="E5" s="2">
        <v>36.9</v>
      </c>
      <c r="F5" s="2">
        <f t="shared" si="0"/>
        <v>295.2</v>
      </c>
      <c r="G5" s="2">
        <v>36.53125</v>
      </c>
      <c r="H5" s="2">
        <v>292.25</v>
      </c>
      <c r="I5" s="5">
        <v>17.309999999999999</v>
      </c>
      <c r="J5" s="1">
        <v>23.27</v>
      </c>
      <c r="K5" s="1" t="s">
        <v>35</v>
      </c>
      <c r="L5" s="1" t="s">
        <v>38</v>
      </c>
      <c r="M5" s="1">
        <v>87088035</v>
      </c>
      <c r="N5" s="1" t="s">
        <v>37</v>
      </c>
    </row>
    <row r="6" spans="1:17" x14ac:dyDescent="0.25">
      <c r="A6" s="4">
        <v>55103</v>
      </c>
      <c r="B6" s="1" t="s">
        <v>19</v>
      </c>
      <c r="C6" s="4" t="s">
        <v>68</v>
      </c>
      <c r="D6" s="1">
        <v>4</v>
      </c>
      <c r="E6" s="2">
        <v>42.9</v>
      </c>
      <c r="F6" s="2">
        <f t="shared" si="0"/>
        <v>171.6</v>
      </c>
      <c r="G6" s="2">
        <v>42.47</v>
      </c>
      <c r="H6" s="2">
        <v>169.88</v>
      </c>
      <c r="I6" s="5">
        <v>17.32</v>
      </c>
      <c r="J6" s="1">
        <v>23.28</v>
      </c>
      <c r="K6" s="1" t="s">
        <v>35</v>
      </c>
      <c r="L6" s="1" t="s">
        <v>39</v>
      </c>
      <c r="M6" s="1">
        <v>87088035</v>
      </c>
      <c r="N6" s="1" t="s">
        <v>37</v>
      </c>
    </row>
    <row r="7" spans="1:17" x14ac:dyDescent="0.25">
      <c r="A7" s="4">
        <v>55084</v>
      </c>
      <c r="B7" s="1" t="s">
        <v>20</v>
      </c>
      <c r="C7" s="4" t="s">
        <v>69</v>
      </c>
      <c r="D7" s="1">
        <v>2</v>
      </c>
      <c r="E7" s="2">
        <v>20.79</v>
      </c>
      <c r="F7" s="2">
        <f t="shared" si="0"/>
        <v>41.58</v>
      </c>
      <c r="G7" s="2">
        <v>20.58</v>
      </c>
      <c r="H7" s="2">
        <v>41.16</v>
      </c>
      <c r="I7" s="5">
        <v>3.01</v>
      </c>
      <c r="J7" s="1">
        <v>4.05</v>
      </c>
      <c r="K7" s="1" t="s">
        <v>35</v>
      </c>
      <c r="L7" s="1" t="s">
        <v>38</v>
      </c>
      <c r="M7" s="1">
        <v>87088035</v>
      </c>
      <c r="N7" s="1" t="s">
        <v>37</v>
      </c>
    </row>
    <row r="8" spans="1:17" x14ac:dyDescent="0.25">
      <c r="A8" s="4">
        <v>55082</v>
      </c>
      <c r="B8" s="1" t="s">
        <v>21</v>
      </c>
      <c r="C8" s="4" t="s">
        <v>70</v>
      </c>
      <c r="D8" s="1">
        <v>2</v>
      </c>
      <c r="E8" s="2">
        <v>27.42</v>
      </c>
      <c r="F8" s="2">
        <f t="shared" si="0"/>
        <v>54.84</v>
      </c>
      <c r="G8" s="2">
        <v>27.145</v>
      </c>
      <c r="H8" s="2">
        <v>54.29</v>
      </c>
      <c r="I8" s="5">
        <v>3.22</v>
      </c>
      <c r="J8" s="1">
        <v>4.33</v>
      </c>
      <c r="K8" s="1" t="s">
        <v>35</v>
      </c>
      <c r="L8" s="1" t="s">
        <v>38</v>
      </c>
      <c r="M8" s="1">
        <v>87088035</v>
      </c>
      <c r="N8" s="1" t="s">
        <v>37</v>
      </c>
    </row>
    <row r="9" spans="1:17" x14ac:dyDescent="0.25">
      <c r="A9" s="4">
        <v>55105</v>
      </c>
      <c r="B9" s="1" t="s">
        <v>22</v>
      </c>
      <c r="C9" s="4" t="s">
        <v>71</v>
      </c>
      <c r="D9" s="1">
        <v>2</v>
      </c>
      <c r="E9" s="2">
        <v>33.89</v>
      </c>
      <c r="F9" s="2">
        <f t="shared" si="0"/>
        <v>67.78</v>
      </c>
      <c r="G9" s="2">
        <v>33.549999999999997</v>
      </c>
      <c r="H9" s="2">
        <v>67.099999999999994</v>
      </c>
      <c r="I9" s="5">
        <v>3.22</v>
      </c>
      <c r="J9" s="1">
        <v>4.33</v>
      </c>
      <c r="K9" s="1" t="s">
        <v>35</v>
      </c>
      <c r="L9" s="1" t="s">
        <v>38</v>
      </c>
      <c r="M9" s="1">
        <v>87088035</v>
      </c>
      <c r="N9" s="1" t="s">
        <v>37</v>
      </c>
    </row>
    <row r="10" spans="1:17" x14ac:dyDescent="0.25">
      <c r="A10" s="4">
        <v>55124</v>
      </c>
      <c r="B10" s="1" t="s">
        <v>15</v>
      </c>
      <c r="C10" s="4" t="s">
        <v>65</v>
      </c>
      <c r="D10" s="1">
        <v>2</v>
      </c>
      <c r="E10" s="2">
        <v>29.96</v>
      </c>
      <c r="F10" s="2">
        <f t="shared" si="0"/>
        <v>59.92</v>
      </c>
      <c r="G10" s="2">
        <v>29.66</v>
      </c>
      <c r="H10" s="2">
        <v>59.32</v>
      </c>
      <c r="I10" s="5">
        <v>4.3499999999999996</v>
      </c>
      <c r="J10" s="1">
        <v>5.85</v>
      </c>
      <c r="K10" s="1" t="s">
        <v>35</v>
      </c>
      <c r="L10" s="1" t="s">
        <v>38</v>
      </c>
      <c r="M10" s="1">
        <v>87088035</v>
      </c>
      <c r="N10" s="1" t="s">
        <v>37</v>
      </c>
    </row>
    <row r="11" spans="1:17" x14ac:dyDescent="0.25">
      <c r="A11" s="4">
        <v>55081</v>
      </c>
      <c r="B11" s="1" t="s">
        <v>23</v>
      </c>
      <c r="C11" s="4" t="s">
        <v>72</v>
      </c>
      <c r="D11" s="1">
        <v>4</v>
      </c>
      <c r="E11" s="2">
        <v>38.270000000000003</v>
      </c>
      <c r="F11" s="2">
        <f t="shared" si="0"/>
        <v>153.08000000000001</v>
      </c>
      <c r="G11" s="2">
        <v>37.887500000000003</v>
      </c>
      <c r="H11" s="2">
        <v>151.55000000000001</v>
      </c>
      <c r="I11" s="5">
        <v>16.62</v>
      </c>
      <c r="J11" s="1">
        <v>22.34</v>
      </c>
      <c r="K11" s="1" t="s">
        <v>35</v>
      </c>
      <c r="L11" s="1" t="s">
        <v>38</v>
      </c>
      <c r="M11" s="1">
        <v>87088035</v>
      </c>
      <c r="N11" s="1" t="s">
        <v>37</v>
      </c>
    </row>
    <row r="12" spans="1:17" x14ac:dyDescent="0.25">
      <c r="A12" s="4">
        <v>55085</v>
      </c>
      <c r="B12" s="1" t="s">
        <v>24</v>
      </c>
      <c r="C12" s="4" t="s">
        <v>63</v>
      </c>
      <c r="D12" s="1">
        <v>6</v>
      </c>
      <c r="E12" s="2">
        <v>35.700000000000003</v>
      </c>
      <c r="F12" s="2">
        <f t="shared" si="0"/>
        <v>214.20000000000002</v>
      </c>
      <c r="G12" s="2">
        <v>35.343333333333334</v>
      </c>
      <c r="H12" s="2">
        <v>212.06</v>
      </c>
      <c r="I12" s="5">
        <v>21.16</v>
      </c>
      <c r="J12" s="1">
        <v>28.45</v>
      </c>
      <c r="K12" s="1" t="s">
        <v>35</v>
      </c>
      <c r="L12" s="1" t="s">
        <v>38</v>
      </c>
      <c r="M12" s="1">
        <v>87088035</v>
      </c>
      <c r="N12" s="1" t="s">
        <v>37</v>
      </c>
    </row>
    <row r="13" spans="1:17" x14ac:dyDescent="0.25">
      <c r="A13" s="4">
        <v>56313</v>
      </c>
      <c r="B13" s="1" t="s">
        <v>25</v>
      </c>
      <c r="C13" s="4" t="s">
        <v>73</v>
      </c>
      <c r="D13" s="1">
        <v>10</v>
      </c>
      <c r="E13" s="2">
        <v>33.25</v>
      </c>
      <c r="F13" s="2">
        <f t="shared" si="0"/>
        <v>332.5</v>
      </c>
      <c r="G13" s="2">
        <v>32.917000000000002</v>
      </c>
      <c r="H13" s="2">
        <v>329.17</v>
      </c>
      <c r="I13" s="5">
        <v>22</v>
      </c>
      <c r="J13" s="1">
        <v>29.58</v>
      </c>
      <c r="K13" s="1" t="s">
        <v>35</v>
      </c>
      <c r="L13" s="1" t="s">
        <v>38</v>
      </c>
      <c r="M13" s="1">
        <v>87088035</v>
      </c>
      <c r="N13" s="1" t="s">
        <v>37</v>
      </c>
    </row>
    <row r="14" spans="1:17" x14ac:dyDescent="0.25">
      <c r="A14" s="4">
        <v>55132</v>
      </c>
      <c r="B14" s="1" t="s">
        <v>26</v>
      </c>
      <c r="C14" s="4" t="s">
        <v>74</v>
      </c>
      <c r="D14" s="1">
        <v>6</v>
      </c>
      <c r="E14" s="2">
        <v>36.9</v>
      </c>
      <c r="F14" s="2">
        <f t="shared" si="0"/>
        <v>221.39999999999998</v>
      </c>
      <c r="G14" s="2">
        <v>36.531666666666666</v>
      </c>
      <c r="H14" s="2">
        <v>219.19</v>
      </c>
      <c r="I14" s="5">
        <v>8.36</v>
      </c>
      <c r="J14" s="1">
        <v>11.24</v>
      </c>
      <c r="K14" s="1" t="s">
        <v>36</v>
      </c>
      <c r="L14" s="1" t="s">
        <v>39</v>
      </c>
      <c r="M14" s="1">
        <v>87088035</v>
      </c>
      <c r="N14" s="1" t="s">
        <v>37</v>
      </c>
    </row>
    <row r="15" spans="1:17" x14ac:dyDescent="0.25">
      <c r="A15" s="4">
        <v>56317</v>
      </c>
      <c r="B15" s="1" t="s">
        <v>27</v>
      </c>
      <c r="C15" s="4" t="s">
        <v>64</v>
      </c>
      <c r="D15" s="1">
        <v>2</v>
      </c>
      <c r="E15" s="2">
        <v>45.9</v>
      </c>
      <c r="F15" s="2">
        <f t="shared" si="0"/>
        <v>91.8</v>
      </c>
      <c r="G15" s="2">
        <v>45.44</v>
      </c>
      <c r="H15" s="2">
        <v>90.88</v>
      </c>
      <c r="I15" s="5">
        <v>4.26</v>
      </c>
      <c r="J15" s="1">
        <v>5.73</v>
      </c>
      <c r="K15" s="1" t="s">
        <v>35</v>
      </c>
      <c r="L15" s="1" t="s">
        <v>39</v>
      </c>
      <c r="M15" s="1">
        <v>87088035</v>
      </c>
      <c r="N15" s="1" t="s">
        <v>37</v>
      </c>
    </row>
    <row r="16" spans="1:17" x14ac:dyDescent="0.25">
      <c r="A16" s="4">
        <v>62433</v>
      </c>
      <c r="B16" s="1" t="s">
        <v>28</v>
      </c>
      <c r="C16" s="4" t="s">
        <v>75</v>
      </c>
      <c r="D16" s="1">
        <v>4</v>
      </c>
      <c r="E16" s="2">
        <v>51.3</v>
      </c>
      <c r="F16" s="2">
        <f t="shared" si="0"/>
        <v>205.2</v>
      </c>
      <c r="G16" s="2">
        <v>50.787500000000001</v>
      </c>
      <c r="H16" s="2">
        <v>203.15</v>
      </c>
      <c r="I16" s="5">
        <v>17.28</v>
      </c>
      <c r="J16" s="1">
        <v>23.23</v>
      </c>
      <c r="K16" s="1" t="s">
        <v>35</v>
      </c>
      <c r="L16" s="1" t="s">
        <v>38</v>
      </c>
      <c r="M16" s="1">
        <v>87088035</v>
      </c>
      <c r="N16" s="1" t="s">
        <v>37</v>
      </c>
    </row>
    <row r="17" spans="1:14" x14ac:dyDescent="0.25">
      <c r="A17" s="4">
        <v>62431</v>
      </c>
      <c r="B17" s="1" t="s">
        <v>29</v>
      </c>
      <c r="C17" s="4" t="s">
        <v>76</v>
      </c>
      <c r="D17" s="1">
        <v>1</v>
      </c>
      <c r="E17" s="2">
        <v>39</v>
      </c>
      <c r="F17" s="2">
        <f t="shared" si="0"/>
        <v>39</v>
      </c>
      <c r="G17" s="2">
        <v>38.61</v>
      </c>
      <c r="H17" s="2">
        <v>38.61</v>
      </c>
      <c r="I17" s="5">
        <v>3.61</v>
      </c>
      <c r="J17" s="1">
        <v>4.8499999999999996</v>
      </c>
      <c r="K17" s="1" t="s">
        <v>35</v>
      </c>
      <c r="L17" s="1" t="s">
        <v>38</v>
      </c>
      <c r="M17" s="1">
        <v>87088035</v>
      </c>
      <c r="N17" s="1" t="s">
        <v>37</v>
      </c>
    </row>
    <row r="18" spans="1:14" x14ac:dyDescent="0.25">
      <c r="A18" s="4">
        <v>63320</v>
      </c>
      <c r="B18" s="1" t="s">
        <v>30</v>
      </c>
      <c r="C18" s="4" t="s">
        <v>77</v>
      </c>
      <c r="D18" s="1">
        <v>3</v>
      </c>
      <c r="E18" s="2">
        <v>132.6</v>
      </c>
      <c r="F18" s="2">
        <f t="shared" si="0"/>
        <v>397.79999999999995</v>
      </c>
      <c r="G18" s="2">
        <v>131.27333333333334</v>
      </c>
      <c r="H18" s="2">
        <v>393.82</v>
      </c>
      <c r="I18" s="5">
        <v>9</v>
      </c>
      <c r="J18" s="1">
        <v>12.1</v>
      </c>
      <c r="K18" s="1" t="s">
        <v>36</v>
      </c>
      <c r="L18" s="1" t="s">
        <v>38</v>
      </c>
      <c r="M18" s="1">
        <v>87088035</v>
      </c>
      <c r="N18" s="1" t="s">
        <v>37</v>
      </c>
    </row>
    <row r="19" spans="1:14" x14ac:dyDescent="0.25">
      <c r="A19" s="4">
        <v>64082</v>
      </c>
      <c r="B19" s="1" t="s">
        <v>31</v>
      </c>
      <c r="C19" s="4" t="s">
        <v>78</v>
      </c>
      <c r="D19" s="1">
        <v>2</v>
      </c>
      <c r="E19" s="2">
        <v>132.6</v>
      </c>
      <c r="F19" s="2">
        <f t="shared" si="0"/>
        <v>265.2</v>
      </c>
      <c r="G19" s="2">
        <v>131.27500000000001</v>
      </c>
      <c r="H19" s="2">
        <v>262.55</v>
      </c>
      <c r="I19" s="5">
        <v>6</v>
      </c>
      <c r="J19" s="1">
        <v>8.07</v>
      </c>
      <c r="K19" s="1" t="s">
        <v>36</v>
      </c>
      <c r="L19" s="1" t="s">
        <v>38</v>
      </c>
      <c r="M19" s="1">
        <v>87088035</v>
      </c>
      <c r="N19" s="1" t="s">
        <v>37</v>
      </c>
    </row>
    <row r="20" spans="1:14" x14ac:dyDescent="0.25">
      <c r="B20" s="1" t="s">
        <v>32</v>
      </c>
      <c r="C20" s="4" t="s">
        <v>79</v>
      </c>
      <c r="D20" s="1">
        <v>2</v>
      </c>
      <c r="E20" s="2">
        <v>114.3</v>
      </c>
      <c r="F20" s="2">
        <f t="shared" si="0"/>
        <v>228.6</v>
      </c>
      <c r="G20" s="2">
        <v>113.155</v>
      </c>
      <c r="H20" s="2">
        <v>226.31</v>
      </c>
      <c r="I20" s="5">
        <v>10.24</v>
      </c>
      <c r="J20" s="1">
        <v>13.77</v>
      </c>
      <c r="K20" s="1" t="s">
        <v>35</v>
      </c>
      <c r="L20" s="1" t="s">
        <v>39</v>
      </c>
      <c r="M20" s="1">
        <v>87088035</v>
      </c>
      <c r="N20" s="1" t="s">
        <v>37</v>
      </c>
    </row>
    <row r="21" spans="1:14" x14ac:dyDescent="0.25">
      <c r="A21" s="4">
        <v>55080</v>
      </c>
      <c r="B21" s="1" t="s">
        <v>33</v>
      </c>
      <c r="C21" s="4" t="s">
        <v>80</v>
      </c>
      <c r="D21" s="1">
        <v>5</v>
      </c>
      <c r="E21" s="2">
        <v>35.08</v>
      </c>
      <c r="F21" s="2">
        <f t="shared" si="0"/>
        <v>175.39999999999998</v>
      </c>
      <c r="G21" s="2">
        <v>34.730000000000004</v>
      </c>
      <c r="H21" s="2">
        <v>173.65</v>
      </c>
      <c r="I21" s="5">
        <v>20.68</v>
      </c>
      <c r="J21" s="1">
        <v>27.8</v>
      </c>
      <c r="K21" s="1" t="s">
        <v>35</v>
      </c>
      <c r="L21" s="1" t="s">
        <v>38</v>
      </c>
      <c r="M21" s="1">
        <v>87088035</v>
      </c>
      <c r="N21" s="1" t="s">
        <v>37</v>
      </c>
    </row>
    <row r="22" spans="1:14" x14ac:dyDescent="0.25">
      <c r="A22" s="4">
        <v>55080</v>
      </c>
      <c r="B22" s="1" t="s">
        <v>33</v>
      </c>
      <c r="C22" s="4" t="s">
        <v>80</v>
      </c>
      <c r="D22" s="1">
        <v>6</v>
      </c>
      <c r="E22" s="2">
        <v>35.08</v>
      </c>
      <c r="F22" s="2">
        <f t="shared" si="0"/>
        <v>210.48</v>
      </c>
      <c r="G22" s="2">
        <v>34.729999999999997</v>
      </c>
      <c r="H22" s="2">
        <v>208.38</v>
      </c>
      <c r="I22" s="5">
        <v>24.82</v>
      </c>
      <c r="J22" s="1">
        <v>33.369999999999997</v>
      </c>
      <c r="K22" s="1" t="s">
        <v>35</v>
      </c>
      <c r="L22" s="1" t="s">
        <v>38</v>
      </c>
      <c r="M22" s="1">
        <v>87088035</v>
      </c>
      <c r="N22" s="1" t="s">
        <v>37</v>
      </c>
    </row>
    <row r="23" spans="1:14" x14ac:dyDescent="0.25">
      <c r="A23" s="4">
        <v>55079</v>
      </c>
      <c r="B23" s="1" t="s">
        <v>34</v>
      </c>
      <c r="C23" s="4" t="s">
        <v>81</v>
      </c>
      <c r="D23" s="1">
        <v>12</v>
      </c>
      <c r="E23" s="2">
        <v>31.3</v>
      </c>
      <c r="F23" s="2">
        <f t="shared" si="0"/>
        <v>375.6</v>
      </c>
      <c r="G23" s="2">
        <v>30.986666666666665</v>
      </c>
      <c r="H23" s="2">
        <v>371.84</v>
      </c>
      <c r="I23" s="5">
        <v>45.72</v>
      </c>
      <c r="J23" s="1">
        <v>61.45</v>
      </c>
      <c r="K23" s="1" t="s">
        <v>35</v>
      </c>
      <c r="L23" s="1" t="s">
        <v>39</v>
      </c>
      <c r="M23" s="1">
        <v>87088035</v>
      </c>
      <c r="N23" s="1" t="s">
        <v>37</v>
      </c>
    </row>
    <row r="24" spans="1:14" x14ac:dyDescent="0.25">
      <c r="F24" s="15">
        <f>SUM(F2:F23)</f>
        <v>4436.8599999999997</v>
      </c>
      <c r="H24" s="16">
        <f>SUM(H2:H23)</f>
        <v>4392.4800000000005</v>
      </c>
      <c r="I24" s="17">
        <f>SUM(I2:I23)</f>
        <v>319.11</v>
      </c>
      <c r="J24" s="17">
        <f>SUM(J2:J23)</f>
        <v>429</v>
      </c>
    </row>
    <row r="25" spans="1:14" x14ac:dyDescent="0.25">
      <c r="J25" s="5"/>
    </row>
    <row r="26" spans="1:14" x14ac:dyDescent="0.25">
      <c r="I26" s="5"/>
    </row>
    <row r="27" spans="1:14" x14ac:dyDescent="0.25">
      <c r="J27" s="5"/>
    </row>
    <row r="28" spans="1:14" x14ac:dyDescent="0.25">
      <c r="J28" s="5"/>
    </row>
    <row r="29" spans="1:14" x14ac:dyDescent="0.25">
      <c r="J29" s="5"/>
    </row>
    <row r="30" spans="1:14" x14ac:dyDescent="0.25">
      <c r="J30" s="5"/>
    </row>
    <row r="31" spans="1:14" x14ac:dyDescent="0.25">
      <c r="J31" s="5"/>
    </row>
    <row r="32" spans="1:14" x14ac:dyDescent="0.25">
      <c r="J32" s="5"/>
    </row>
    <row r="33" spans="10:10" x14ac:dyDescent="0.25">
      <c r="J33" s="5"/>
    </row>
    <row r="34" spans="10:10" x14ac:dyDescent="0.25">
      <c r="J34" s="5"/>
    </row>
    <row r="35" spans="10:10" x14ac:dyDescent="0.25">
      <c r="J35" s="5"/>
    </row>
    <row r="36" spans="10:10" x14ac:dyDescent="0.25">
      <c r="J36" s="5"/>
    </row>
    <row r="37" spans="10:10" x14ac:dyDescent="0.25">
      <c r="J37" s="5"/>
    </row>
    <row r="38" spans="10:10" x14ac:dyDescent="0.25">
      <c r="J38" s="5"/>
    </row>
    <row r="39" spans="10:10" x14ac:dyDescent="0.25">
      <c r="J39" s="5"/>
    </row>
    <row r="40" spans="10:10" x14ac:dyDescent="0.25">
      <c r="J40" s="5"/>
    </row>
    <row r="41" spans="10:10" x14ac:dyDescent="0.25">
      <c r="J41" s="5"/>
    </row>
    <row r="42" spans="10:10" x14ac:dyDescent="0.25">
      <c r="J42" s="5"/>
    </row>
    <row r="43" spans="10:10" x14ac:dyDescent="0.25">
      <c r="J43" s="5"/>
    </row>
    <row r="44" spans="10:10" x14ac:dyDescent="0.25">
      <c r="J44" s="5"/>
    </row>
    <row r="45" spans="10:10" x14ac:dyDescent="0.25">
      <c r="J45" s="5"/>
    </row>
    <row r="46" spans="10:10" x14ac:dyDescent="0.25">
      <c r="J46" s="5"/>
    </row>
    <row r="47" spans="10:10" x14ac:dyDescent="0.25">
      <c r="J47" s="5"/>
    </row>
    <row r="48" spans="10:10" x14ac:dyDescent="0.25">
      <c r="J48" s="5"/>
    </row>
    <row r="49" spans="9:10" x14ac:dyDescent="0.25">
      <c r="J49" s="5"/>
    </row>
    <row r="50" spans="9:10" x14ac:dyDescent="0.25">
      <c r="J50" s="5"/>
    </row>
    <row r="51" spans="9:10" x14ac:dyDescent="0.25">
      <c r="J51" s="5"/>
    </row>
    <row r="52" spans="9:10" x14ac:dyDescent="0.25">
      <c r="J52" s="5"/>
    </row>
    <row r="53" spans="9:10" x14ac:dyDescent="0.25">
      <c r="J53" s="5"/>
    </row>
    <row r="54" spans="9:10" x14ac:dyDescent="0.25">
      <c r="J54" s="5"/>
    </row>
    <row r="55" spans="9:10" x14ac:dyDescent="0.25">
      <c r="J55" s="5"/>
    </row>
    <row r="56" spans="9:10" x14ac:dyDescent="0.25">
      <c r="J56" s="5"/>
    </row>
    <row r="57" spans="9:10" x14ac:dyDescent="0.25">
      <c r="J57" s="5"/>
    </row>
    <row r="58" spans="9:10" x14ac:dyDescent="0.25">
      <c r="I58" s="5"/>
    </row>
    <row r="59" spans="9:10" x14ac:dyDescent="0.25">
      <c r="I59" s="5"/>
    </row>
    <row r="60" spans="9:10" x14ac:dyDescent="0.25">
      <c r="I60" s="5"/>
    </row>
    <row r="61" spans="9:10" x14ac:dyDescent="0.25">
      <c r="I61" s="5"/>
    </row>
    <row r="62" spans="9:10" x14ac:dyDescent="0.25">
      <c r="I62" s="5"/>
    </row>
    <row r="63" spans="9:10" x14ac:dyDescent="0.25">
      <c r="I63" s="5"/>
    </row>
    <row r="64" spans="9:10" x14ac:dyDescent="0.25">
      <c r="I64" s="5"/>
    </row>
    <row r="65" spans="9:9" x14ac:dyDescent="0.25">
      <c r="I65" s="5"/>
    </row>
    <row r="66" spans="9:9" x14ac:dyDescent="0.25">
      <c r="I66" s="5"/>
    </row>
    <row r="67" spans="9:9" x14ac:dyDescent="0.25">
      <c r="I67" s="5"/>
    </row>
    <row r="68" spans="9:9" x14ac:dyDescent="0.25">
      <c r="I68" s="5"/>
    </row>
    <row r="69" spans="9:9" x14ac:dyDescent="0.25">
      <c r="I69" s="5"/>
    </row>
    <row r="70" spans="9:9" x14ac:dyDescent="0.25">
      <c r="I70" s="5"/>
    </row>
    <row r="71" spans="9:9" x14ac:dyDescent="0.25">
      <c r="I71" s="5"/>
    </row>
    <row r="72" spans="9:9" x14ac:dyDescent="0.25">
      <c r="I72" s="5"/>
    </row>
    <row r="73" spans="9:9" x14ac:dyDescent="0.25">
      <c r="I73" s="5"/>
    </row>
    <row r="74" spans="9:9" x14ac:dyDescent="0.25">
      <c r="I74" s="5"/>
    </row>
    <row r="75" spans="9:9" x14ac:dyDescent="0.25">
      <c r="I75" s="5"/>
    </row>
    <row r="76" spans="9:9" x14ac:dyDescent="0.25">
      <c r="I76" s="5"/>
    </row>
    <row r="77" spans="9:9" x14ac:dyDescent="0.25">
      <c r="I77" s="5"/>
    </row>
    <row r="78" spans="9:9" x14ac:dyDescent="0.25">
      <c r="I78" s="5"/>
    </row>
    <row r="79" spans="9:9" x14ac:dyDescent="0.25">
      <c r="I79" s="5"/>
    </row>
    <row r="80" spans="9:9" x14ac:dyDescent="0.25">
      <c r="I80" s="5"/>
    </row>
    <row r="81" spans="9:9" x14ac:dyDescent="0.25">
      <c r="I81" s="5"/>
    </row>
    <row r="82" spans="9:9" x14ac:dyDescent="0.25">
      <c r="I82" s="5"/>
    </row>
    <row r="83" spans="9:9" x14ac:dyDescent="0.25">
      <c r="I83" s="5"/>
    </row>
    <row r="84" spans="9:9" x14ac:dyDescent="0.25">
      <c r="I84" s="5"/>
    </row>
    <row r="85" spans="9:9" x14ac:dyDescent="0.25">
      <c r="I85" s="5"/>
    </row>
    <row r="86" spans="9:9" x14ac:dyDescent="0.25">
      <c r="I86" s="5"/>
    </row>
    <row r="87" spans="9:9" x14ac:dyDescent="0.25">
      <c r="I87" s="5"/>
    </row>
    <row r="88" spans="9:9" x14ac:dyDescent="0.25">
      <c r="I88" s="5"/>
    </row>
    <row r="89" spans="9:9" x14ac:dyDescent="0.25">
      <c r="I89" s="5"/>
    </row>
    <row r="90" spans="9:9" x14ac:dyDescent="0.25">
      <c r="I90" s="5"/>
    </row>
    <row r="91" spans="9:9" x14ac:dyDescent="0.25">
      <c r="I91" s="5"/>
    </row>
    <row r="92" spans="9:9" x14ac:dyDescent="0.25">
      <c r="I92" s="5"/>
    </row>
    <row r="93" spans="9:9" x14ac:dyDescent="0.25">
      <c r="I93" s="5"/>
    </row>
    <row r="94" spans="9:9" x14ac:dyDescent="0.25">
      <c r="I94" s="5"/>
    </row>
    <row r="95" spans="9:9" x14ac:dyDescent="0.25">
      <c r="I95" s="5"/>
    </row>
    <row r="96" spans="9:9" x14ac:dyDescent="0.25">
      <c r="I96" s="5"/>
    </row>
    <row r="97" spans="9:9" x14ac:dyDescent="0.25">
      <c r="I97" s="5"/>
    </row>
    <row r="98" spans="9:9" x14ac:dyDescent="0.25">
      <c r="I98" s="5"/>
    </row>
    <row r="99" spans="9:9" x14ac:dyDescent="0.25">
      <c r="I99" s="5"/>
    </row>
    <row r="100" spans="9:9" x14ac:dyDescent="0.25">
      <c r="I100" s="5"/>
    </row>
    <row r="101" spans="9:9" x14ac:dyDescent="0.25">
      <c r="I101" s="5"/>
    </row>
    <row r="102" spans="9:9" x14ac:dyDescent="0.25">
      <c r="I102" s="5"/>
    </row>
    <row r="103" spans="9:9" x14ac:dyDescent="0.25">
      <c r="I103" s="5"/>
    </row>
    <row r="104" spans="9:9" x14ac:dyDescent="0.25">
      <c r="I104" s="5"/>
    </row>
    <row r="105" spans="9:9" x14ac:dyDescent="0.25">
      <c r="I105" s="5"/>
    </row>
    <row r="106" spans="9:9" x14ac:dyDescent="0.25">
      <c r="I106" s="5"/>
    </row>
    <row r="107" spans="9:9" x14ac:dyDescent="0.25">
      <c r="I107" s="5"/>
    </row>
    <row r="108" spans="9:9" x14ac:dyDescent="0.25">
      <c r="I108" s="5"/>
    </row>
    <row r="109" spans="9:9" x14ac:dyDescent="0.25">
      <c r="I109" s="5"/>
    </row>
    <row r="110" spans="9:9" x14ac:dyDescent="0.25">
      <c r="I110" s="5"/>
    </row>
    <row r="111" spans="9:9" x14ac:dyDescent="0.25">
      <c r="I111" s="5"/>
    </row>
    <row r="112" spans="9:9" x14ac:dyDescent="0.25">
      <c r="I112" s="5"/>
    </row>
    <row r="113" spans="9:9" x14ac:dyDescent="0.25">
      <c r="I113" s="5"/>
    </row>
    <row r="114" spans="9:9" x14ac:dyDescent="0.25">
      <c r="I114" s="5"/>
    </row>
    <row r="115" spans="9:9" x14ac:dyDescent="0.25">
      <c r="I115" s="5"/>
    </row>
    <row r="116" spans="9:9" x14ac:dyDescent="0.25">
      <c r="I116" s="5"/>
    </row>
    <row r="117" spans="9:9" x14ac:dyDescent="0.25">
      <c r="I117" s="5"/>
    </row>
    <row r="118" spans="9:9" x14ac:dyDescent="0.25">
      <c r="I118" s="5"/>
    </row>
    <row r="119" spans="9:9" x14ac:dyDescent="0.25">
      <c r="I119" s="5"/>
    </row>
    <row r="120" spans="9:9" x14ac:dyDescent="0.25">
      <c r="I120" s="5"/>
    </row>
    <row r="121" spans="9:9" x14ac:dyDescent="0.25">
      <c r="I121" s="5"/>
    </row>
    <row r="122" spans="9:9" x14ac:dyDescent="0.25">
      <c r="I122" s="5"/>
    </row>
    <row r="123" spans="9:9" x14ac:dyDescent="0.25">
      <c r="I123" s="5"/>
    </row>
    <row r="124" spans="9:9" x14ac:dyDescent="0.25">
      <c r="I124" s="5"/>
    </row>
    <row r="125" spans="9:9" x14ac:dyDescent="0.25">
      <c r="I125" s="5"/>
    </row>
    <row r="126" spans="9:9" x14ac:dyDescent="0.25">
      <c r="I126" s="5"/>
    </row>
    <row r="127" spans="9:9" x14ac:dyDescent="0.25">
      <c r="I127" s="5"/>
    </row>
    <row r="128" spans="9:9" x14ac:dyDescent="0.25">
      <c r="I128" s="5"/>
    </row>
    <row r="129" spans="9:9" x14ac:dyDescent="0.25">
      <c r="I129" s="5"/>
    </row>
    <row r="130" spans="9:9" x14ac:dyDescent="0.25">
      <c r="I130" s="5"/>
    </row>
    <row r="131" spans="9:9" x14ac:dyDescent="0.25">
      <c r="I131" s="5"/>
    </row>
    <row r="132" spans="9:9" x14ac:dyDescent="0.25">
      <c r="I132" s="5"/>
    </row>
    <row r="133" spans="9:9" x14ac:dyDescent="0.25">
      <c r="I133" s="5"/>
    </row>
    <row r="134" spans="9:9" x14ac:dyDescent="0.25">
      <c r="I134" s="5"/>
    </row>
    <row r="135" spans="9:9" x14ac:dyDescent="0.25">
      <c r="I135" s="5"/>
    </row>
    <row r="136" spans="9:9" x14ac:dyDescent="0.25">
      <c r="I136" s="5"/>
    </row>
    <row r="137" spans="9:9" x14ac:dyDescent="0.25">
      <c r="I137" s="5"/>
    </row>
    <row r="138" spans="9:9" x14ac:dyDescent="0.25">
      <c r="I138" s="5"/>
    </row>
    <row r="139" spans="9:9" x14ac:dyDescent="0.25">
      <c r="I139" s="5"/>
    </row>
    <row r="140" spans="9:9" x14ac:dyDescent="0.25">
      <c r="I140" s="5"/>
    </row>
    <row r="141" spans="9:9" x14ac:dyDescent="0.25">
      <c r="I141" s="5"/>
    </row>
    <row r="142" spans="9:9" x14ac:dyDescent="0.25">
      <c r="I142" s="5"/>
    </row>
    <row r="143" spans="9:9" x14ac:dyDescent="0.25">
      <c r="I143" s="5"/>
    </row>
    <row r="144" spans="9:9" x14ac:dyDescent="0.25">
      <c r="I144" s="5"/>
    </row>
    <row r="145" spans="9:9" x14ac:dyDescent="0.25">
      <c r="I145" s="5"/>
    </row>
    <row r="146" spans="9:9" x14ac:dyDescent="0.25">
      <c r="I146" s="5"/>
    </row>
    <row r="147" spans="9:9" x14ac:dyDescent="0.25">
      <c r="I147" s="5"/>
    </row>
    <row r="148" spans="9:9" x14ac:dyDescent="0.25">
      <c r="I148" s="5"/>
    </row>
    <row r="149" spans="9:9" x14ac:dyDescent="0.25">
      <c r="I149" s="5"/>
    </row>
    <row r="150" spans="9:9" x14ac:dyDescent="0.25">
      <c r="I150" s="5"/>
    </row>
    <row r="151" spans="9:9" x14ac:dyDescent="0.25">
      <c r="I151" s="5"/>
    </row>
    <row r="152" spans="9:9" x14ac:dyDescent="0.25">
      <c r="I152" s="5"/>
    </row>
    <row r="153" spans="9:9" x14ac:dyDescent="0.25">
      <c r="I153" s="5"/>
    </row>
    <row r="154" spans="9:9" x14ac:dyDescent="0.25">
      <c r="I154" s="5"/>
    </row>
    <row r="155" spans="9:9" x14ac:dyDescent="0.25">
      <c r="I155" s="5"/>
    </row>
    <row r="156" spans="9:9" x14ac:dyDescent="0.25">
      <c r="I156" s="5"/>
    </row>
    <row r="157" spans="9:9" x14ac:dyDescent="0.25">
      <c r="I157" s="5"/>
    </row>
    <row r="158" spans="9:9" x14ac:dyDescent="0.25">
      <c r="I158" s="5"/>
    </row>
    <row r="159" spans="9:9" x14ac:dyDescent="0.25">
      <c r="I159" s="5"/>
    </row>
    <row r="160" spans="9:9" x14ac:dyDescent="0.25">
      <c r="I160" s="5"/>
    </row>
    <row r="161" spans="9:9" x14ac:dyDescent="0.25">
      <c r="I161" s="5"/>
    </row>
    <row r="162" spans="9:9" x14ac:dyDescent="0.25">
      <c r="I162" s="5"/>
    </row>
    <row r="163" spans="9:9" x14ac:dyDescent="0.25">
      <c r="I163" s="5"/>
    </row>
    <row r="164" spans="9:9" x14ac:dyDescent="0.25">
      <c r="I164" s="5"/>
    </row>
    <row r="165" spans="9:9" x14ac:dyDescent="0.25">
      <c r="I165" s="5"/>
    </row>
    <row r="166" spans="9:9" x14ac:dyDescent="0.25">
      <c r="I166" s="5"/>
    </row>
    <row r="167" spans="9:9" x14ac:dyDescent="0.25">
      <c r="I167" s="5"/>
    </row>
    <row r="168" spans="9:9" x14ac:dyDescent="0.25">
      <c r="I168" s="5"/>
    </row>
    <row r="169" spans="9:9" x14ac:dyDescent="0.25">
      <c r="I169" s="5"/>
    </row>
    <row r="170" spans="9:9" x14ac:dyDescent="0.25">
      <c r="I170" s="5"/>
    </row>
    <row r="171" spans="9:9" x14ac:dyDescent="0.25">
      <c r="I171" s="5"/>
    </row>
    <row r="172" spans="9:9" x14ac:dyDescent="0.25">
      <c r="I172" s="5"/>
    </row>
    <row r="173" spans="9:9" x14ac:dyDescent="0.25">
      <c r="I173" s="5"/>
    </row>
    <row r="174" spans="9:9" x14ac:dyDescent="0.25">
      <c r="I174" s="5"/>
    </row>
    <row r="175" spans="9:9" x14ac:dyDescent="0.25">
      <c r="I175" s="5"/>
    </row>
    <row r="176" spans="9:9" x14ac:dyDescent="0.25">
      <c r="I176" s="5"/>
    </row>
    <row r="177" spans="9:9" x14ac:dyDescent="0.25">
      <c r="I177" s="5"/>
    </row>
    <row r="178" spans="9:9" x14ac:dyDescent="0.25">
      <c r="I178" s="5"/>
    </row>
    <row r="179" spans="9:9" x14ac:dyDescent="0.25">
      <c r="I179" s="5"/>
    </row>
    <row r="180" spans="9:9" x14ac:dyDescent="0.25">
      <c r="I180" s="5"/>
    </row>
    <row r="181" spans="9:9" x14ac:dyDescent="0.25">
      <c r="I181" s="5"/>
    </row>
    <row r="182" spans="9:9" x14ac:dyDescent="0.25">
      <c r="I182" s="5"/>
    </row>
    <row r="183" spans="9:9" x14ac:dyDescent="0.25">
      <c r="I183" s="5"/>
    </row>
    <row r="184" spans="9:9" x14ac:dyDescent="0.25">
      <c r="I184" s="5"/>
    </row>
    <row r="185" spans="9:9" x14ac:dyDescent="0.25">
      <c r="I185" s="5"/>
    </row>
    <row r="186" spans="9:9" x14ac:dyDescent="0.25">
      <c r="I186" s="5"/>
    </row>
    <row r="187" spans="9:9" x14ac:dyDescent="0.25">
      <c r="I187" s="5"/>
    </row>
    <row r="188" spans="9:9" x14ac:dyDescent="0.25">
      <c r="I188" s="5"/>
    </row>
    <row r="189" spans="9:9" x14ac:dyDescent="0.25">
      <c r="I189" s="5"/>
    </row>
    <row r="190" spans="9:9" x14ac:dyDescent="0.25">
      <c r="I190" s="5"/>
    </row>
    <row r="191" spans="9:9" x14ac:dyDescent="0.25">
      <c r="I191" s="5"/>
    </row>
    <row r="192" spans="9:9" x14ac:dyDescent="0.25">
      <c r="I192" s="5"/>
    </row>
    <row r="193" spans="9:9" x14ac:dyDescent="0.25">
      <c r="I193" s="5"/>
    </row>
    <row r="194" spans="9:9" x14ac:dyDescent="0.25">
      <c r="I194" s="5"/>
    </row>
    <row r="195" spans="9:9" x14ac:dyDescent="0.25">
      <c r="I195" s="5"/>
    </row>
    <row r="196" spans="9:9" x14ac:dyDescent="0.25">
      <c r="I196" s="5"/>
    </row>
    <row r="197" spans="9:9" x14ac:dyDescent="0.25">
      <c r="I197" s="5"/>
    </row>
    <row r="198" spans="9:9" x14ac:dyDescent="0.25">
      <c r="I198" s="5"/>
    </row>
    <row r="199" spans="9:9" x14ac:dyDescent="0.25">
      <c r="I199" s="5"/>
    </row>
    <row r="200" spans="9:9" x14ac:dyDescent="0.25">
      <c r="I200" s="5"/>
    </row>
    <row r="201" spans="9:9" x14ac:dyDescent="0.25">
      <c r="I201" s="5"/>
    </row>
    <row r="202" spans="9:9" x14ac:dyDescent="0.25">
      <c r="I202" s="5"/>
    </row>
    <row r="203" spans="9:9" x14ac:dyDescent="0.25">
      <c r="I203" s="5"/>
    </row>
    <row r="204" spans="9:9" x14ac:dyDescent="0.25">
      <c r="I204" s="5"/>
    </row>
    <row r="205" spans="9:9" x14ac:dyDescent="0.25">
      <c r="I205" s="5"/>
    </row>
    <row r="206" spans="9:9" x14ac:dyDescent="0.25">
      <c r="I206" s="5"/>
    </row>
    <row r="207" spans="9:9" x14ac:dyDescent="0.25">
      <c r="I207" s="5"/>
    </row>
    <row r="208" spans="9:9" x14ac:dyDescent="0.25">
      <c r="I208" s="5"/>
    </row>
    <row r="209" spans="9:9" x14ac:dyDescent="0.25">
      <c r="I209" s="5"/>
    </row>
    <row r="210" spans="9:9" x14ac:dyDescent="0.25">
      <c r="I210" s="5"/>
    </row>
    <row r="211" spans="9:9" x14ac:dyDescent="0.25">
      <c r="I211" s="5"/>
    </row>
    <row r="212" spans="9:9" x14ac:dyDescent="0.25">
      <c r="I212" s="5"/>
    </row>
    <row r="213" spans="9:9" x14ac:dyDescent="0.25">
      <c r="I213" s="5"/>
    </row>
    <row r="214" spans="9:9" x14ac:dyDescent="0.25">
      <c r="I214" s="5"/>
    </row>
    <row r="215" spans="9:9" x14ac:dyDescent="0.25">
      <c r="I215" s="5"/>
    </row>
    <row r="216" spans="9:9" x14ac:dyDescent="0.25">
      <c r="I216" s="5"/>
    </row>
    <row r="217" spans="9:9" x14ac:dyDescent="0.25">
      <c r="I217" s="5"/>
    </row>
    <row r="218" spans="9:9" x14ac:dyDescent="0.25">
      <c r="I218" s="5"/>
    </row>
    <row r="219" spans="9:9" x14ac:dyDescent="0.25">
      <c r="I219" s="5"/>
    </row>
    <row r="220" spans="9:9" x14ac:dyDescent="0.25">
      <c r="I220" s="5"/>
    </row>
    <row r="221" spans="9:9" x14ac:dyDescent="0.25">
      <c r="I221" s="5"/>
    </row>
    <row r="222" spans="9:9" x14ac:dyDescent="0.25">
      <c r="I222" s="5"/>
    </row>
    <row r="223" spans="9:9" x14ac:dyDescent="0.25">
      <c r="I223" s="5"/>
    </row>
    <row r="224" spans="9:9" x14ac:dyDescent="0.25">
      <c r="I224" s="5"/>
    </row>
    <row r="225" spans="9:9" x14ac:dyDescent="0.25">
      <c r="I225" s="5"/>
    </row>
    <row r="226" spans="9:9" x14ac:dyDescent="0.25">
      <c r="I226" s="5"/>
    </row>
    <row r="227" spans="9:9" x14ac:dyDescent="0.25">
      <c r="I227" s="5"/>
    </row>
    <row r="228" spans="9:9" x14ac:dyDescent="0.25">
      <c r="I228" s="5"/>
    </row>
    <row r="229" spans="9:9" x14ac:dyDescent="0.25">
      <c r="I229" s="5"/>
    </row>
    <row r="230" spans="9:9" x14ac:dyDescent="0.25">
      <c r="I230" s="5"/>
    </row>
    <row r="231" spans="9:9" x14ac:dyDescent="0.25">
      <c r="I231" s="5"/>
    </row>
    <row r="232" spans="9:9" x14ac:dyDescent="0.25">
      <c r="I232" s="5"/>
    </row>
    <row r="233" spans="9:9" x14ac:dyDescent="0.25">
      <c r="I233" s="5"/>
    </row>
    <row r="234" spans="9:9" x14ac:dyDescent="0.25">
      <c r="I234" s="5"/>
    </row>
    <row r="235" spans="9:9" x14ac:dyDescent="0.25">
      <c r="I235" s="5"/>
    </row>
    <row r="236" spans="9:9" x14ac:dyDescent="0.25">
      <c r="I236" s="5"/>
    </row>
    <row r="237" spans="9:9" x14ac:dyDescent="0.25">
      <c r="I237" s="5"/>
    </row>
    <row r="238" spans="9:9" x14ac:dyDescent="0.25">
      <c r="I238" s="5"/>
    </row>
    <row r="239" spans="9:9" x14ac:dyDescent="0.25">
      <c r="I239" s="5"/>
    </row>
    <row r="240" spans="9:9" x14ac:dyDescent="0.25">
      <c r="I240" s="5"/>
    </row>
    <row r="241" spans="9:9" x14ac:dyDescent="0.25">
      <c r="I241" s="5"/>
    </row>
    <row r="242" spans="9:9" x14ac:dyDescent="0.25">
      <c r="I242" s="5"/>
    </row>
    <row r="243" spans="9:9" x14ac:dyDescent="0.25">
      <c r="I243" s="5"/>
    </row>
  </sheetData>
  <autoFilter ref="A1:Q243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B629-20B3-4057-8762-CADF8538E408}">
  <dimension ref="A1:C23"/>
  <sheetViews>
    <sheetView workbookViewId="0">
      <selection activeCell="C23" sqref="C23"/>
    </sheetView>
  </sheetViews>
  <sheetFormatPr defaultRowHeight="15" x14ac:dyDescent="0.25"/>
  <cols>
    <col min="1" max="1" width="14.42578125" style="4" customWidth="1"/>
    <col min="2" max="2" width="18.28515625" style="1" bestFit="1" customWidth="1"/>
    <col min="3" max="3" width="127" style="4" bestFit="1" customWidth="1"/>
  </cols>
  <sheetData>
    <row r="1" spans="1:3" ht="15.75" thickBot="1" x14ac:dyDescent="0.3">
      <c r="A1" s="7" t="s">
        <v>11</v>
      </c>
      <c r="B1" s="6" t="s">
        <v>0</v>
      </c>
      <c r="C1" s="7" t="s">
        <v>1</v>
      </c>
    </row>
    <row r="2" spans="1:3" x14ac:dyDescent="0.25">
      <c r="A2" s="4">
        <v>55124</v>
      </c>
      <c r="B2" s="1" t="s">
        <v>15</v>
      </c>
      <c r="C2" s="4" t="s">
        <v>42</v>
      </c>
    </row>
    <row r="3" spans="1:3" x14ac:dyDescent="0.25">
      <c r="A3" s="4">
        <v>55134</v>
      </c>
      <c r="B3" s="1" t="s">
        <v>16</v>
      </c>
      <c r="C3" s="4" t="s">
        <v>43</v>
      </c>
    </row>
    <row r="4" spans="1:3" x14ac:dyDescent="0.25">
      <c r="A4" s="4">
        <v>55104</v>
      </c>
      <c r="B4" s="1" t="s">
        <v>17</v>
      </c>
      <c r="C4" s="4" t="s">
        <v>44</v>
      </c>
    </row>
    <row r="5" spans="1:3" x14ac:dyDescent="0.25">
      <c r="A5" s="4">
        <v>56314</v>
      </c>
      <c r="B5" s="1" t="s">
        <v>18</v>
      </c>
      <c r="C5" s="4" t="s">
        <v>45</v>
      </c>
    </row>
    <row r="6" spans="1:3" x14ac:dyDescent="0.25">
      <c r="A6" s="4">
        <v>55103</v>
      </c>
      <c r="B6" s="1" t="s">
        <v>19</v>
      </c>
      <c r="C6" s="4" t="s">
        <v>46</v>
      </c>
    </row>
    <row r="7" spans="1:3" x14ac:dyDescent="0.25">
      <c r="A7" s="4">
        <v>55084</v>
      </c>
      <c r="B7" s="1" t="s">
        <v>20</v>
      </c>
      <c r="C7" s="4" t="s">
        <v>47</v>
      </c>
    </row>
    <row r="8" spans="1:3" x14ac:dyDescent="0.25">
      <c r="A8" s="4">
        <v>55082</v>
      </c>
      <c r="B8" s="1" t="s">
        <v>21</v>
      </c>
      <c r="C8" s="4" t="s">
        <v>48</v>
      </c>
    </row>
    <row r="9" spans="1:3" x14ac:dyDescent="0.25">
      <c r="A9" s="4">
        <v>55105</v>
      </c>
      <c r="B9" s="1" t="s">
        <v>22</v>
      </c>
      <c r="C9" s="4" t="s">
        <v>49</v>
      </c>
    </row>
    <row r="10" spans="1:3" x14ac:dyDescent="0.25">
      <c r="A10" s="4">
        <v>55124</v>
      </c>
      <c r="B10" s="1" t="s">
        <v>15</v>
      </c>
      <c r="C10" s="4" t="s">
        <v>42</v>
      </c>
    </row>
    <row r="11" spans="1:3" x14ac:dyDescent="0.25">
      <c r="A11" s="4">
        <v>55081</v>
      </c>
      <c r="B11" s="1" t="s">
        <v>23</v>
      </c>
      <c r="C11" s="4" t="s">
        <v>50</v>
      </c>
    </row>
    <row r="12" spans="1:3" x14ac:dyDescent="0.25">
      <c r="A12" s="4">
        <v>55085</v>
      </c>
      <c r="B12" s="1" t="s">
        <v>24</v>
      </c>
      <c r="C12" s="4" t="s">
        <v>51</v>
      </c>
    </row>
    <row r="13" spans="1:3" x14ac:dyDescent="0.25">
      <c r="A13" s="4">
        <v>56313</v>
      </c>
      <c r="B13" s="1" t="s">
        <v>25</v>
      </c>
      <c r="C13" s="4" t="s">
        <v>52</v>
      </c>
    </row>
    <row r="14" spans="1:3" x14ac:dyDescent="0.25">
      <c r="A14" s="4">
        <v>55132</v>
      </c>
      <c r="B14" s="1" t="s">
        <v>26</v>
      </c>
      <c r="C14" s="4" t="s">
        <v>53</v>
      </c>
    </row>
    <row r="15" spans="1:3" x14ac:dyDescent="0.25">
      <c r="A15" s="4">
        <v>56317</v>
      </c>
      <c r="B15" s="1" t="s">
        <v>27</v>
      </c>
      <c r="C15" s="4" t="s">
        <v>54</v>
      </c>
    </row>
    <row r="16" spans="1:3" x14ac:dyDescent="0.25">
      <c r="A16" s="4">
        <v>62433</v>
      </c>
      <c r="B16" s="1" t="s">
        <v>28</v>
      </c>
      <c r="C16" s="4" t="s">
        <v>55</v>
      </c>
    </row>
    <row r="17" spans="1:3" x14ac:dyDescent="0.25">
      <c r="A17" s="4">
        <v>62431</v>
      </c>
      <c r="B17" s="1" t="s">
        <v>29</v>
      </c>
      <c r="C17" s="4" t="s">
        <v>56</v>
      </c>
    </row>
    <row r="18" spans="1:3" x14ac:dyDescent="0.25">
      <c r="A18" s="4">
        <v>63320</v>
      </c>
      <c r="B18" s="1" t="s">
        <v>30</v>
      </c>
      <c r="C18" s="4" t="s">
        <v>57</v>
      </c>
    </row>
    <row r="19" spans="1:3" x14ac:dyDescent="0.25">
      <c r="A19" s="4">
        <v>64082</v>
      </c>
      <c r="B19" s="1" t="s">
        <v>31</v>
      </c>
      <c r="C19" s="4" t="s">
        <v>58</v>
      </c>
    </row>
    <row r="20" spans="1:3" x14ac:dyDescent="0.25">
      <c r="B20" s="1" t="s">
        <v>32</v>
      </c>
      <c r="C20" s="4" t="s">
        <v>61</v>
      </c>
    </row>
    <row r="21" spans="1:3" x14ac:dyDescent="0.25">
      <c r="A21" s="4">
        <v>55080</v>
      </c>
      <c r="B21" s="1" t="s">
        <v>33</v>
      </c>
      <c r="C21" s="4" t="s">
        <v>59</v>
      </c>
    </row>
    <row r="22" spans="1:3" x14ac:dyDescent="0.25">
      <c r="A22" s="4">
        <v>55080</v>
      </c>
      <c r="B22" s="1" t="s">
        <v>33</v>
      </c>
      <c r="C22" s="4" t="s">
        <v>59</v>
      </c>
    </row>
    <row r="23" spans="1:3" x14ac:dyDescent="0.25">
      <c r="A23" s="4">
        <v>55079</v>
      </c>
      <c r="B23" s="1" t="s">
        <v>34</v>
      </c>
      <c r="C23" s="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Blerja</dc:creator>
  <cp:lastModifiedBy>Blerja</cp:lastModifiedBy>
  <dcterms:created xsi:type="dcterms:W3CDTF">2015-06-05T18:17:20Z</dcterms:created>
  <dcterms:modified xsi:type="dcterms:W3CDTF">2026-09-07T10:33:12Z</dcterms:modified>
</cp:coreProperties>
</file>